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o" sheetId="1" r:id="rId4"/>
    <sheet state="visible" name="Plan De Costos" sheetId="2" r:id="rId5"/>
    <sheet state="visible" name="Flujo de caja" sheetId="3" r:id="rId6"/>
  </sheets>
  <definedNames/>
  <calcPr/>
</workbook>
</file>

<file path=xl/sharedStrings.xml><?xml version="1.0" encoding="utf-8"?>
<sst xmlns="http://schemas.openxmlformats.org/spreadsheetml/2006/main" count="101" uniqueCount="71">
  <si>
    <t>Proyecto llave en mano BSK Mesa Digital</t>
  </si>
  <si>
    <t>Para el proyecto completo se consideran los sueldos de 3 trabajadores los cuales son, 1 SCRUM master, 1 Desarrollador, 1 QA más algunos serivicios basicos tales como, luz, agua, internet y transporte</t>
  </si>
  <si>
    <t>El proyecto tiene una duración estimada de 14 meses, distribuidos en 2 meses de desarrollo y 12 meses correspondientes al contrato de mantención y soporte. Durante los primeros 3 meses se recibirán los ingresos asociados a la totalidad de los sueldos del equipo de desarrollo, incluyendo además la primera mensualidad del contrato de mantención y soporte, la cual se facturará en el mes 3.
En el mes 4 se completará el pago correspondiente al desarrollo mediante una cuota de mayor monto, dado que incorpora gran parte de la utilidad del proyecto. A partir de dicho mes, también continuará el ingreso regular de la mensualidad del contrato de mantención y soporte.
Desde el mes 5 en adelante, los ingresos corresponderán exclusivamente a las cuotas mensuales del contrato de mantención y soporte, operando con normalidad según lo planificado.</t>
  </si>
  <si>
    <t>Para el calculo del VAN, se considera el supuesto de que el proyecto se vende con un porcentaje de utilidad del 60% por sobre el costo del proyecto.
Para el calculo del TIR se considera que no existe una inversion inicial significativa por lo cual el TIR no ayuda mucho a medir la viabilidad del proyecto se recomienda discrecion con esta metrica.</t>
  </si>
  <si>
    <t>Trabajadores</t>
  </si>
  <si>
    <t>Personal</t>
  </si>
  <si>
    <t>Pago x hora</t>
  </si>
  <si>
    <t>Cantidad horas</t>
  </si>
  <si>
    <t>Total</t>
  </si>
  <si>
    <t>Observación</t>
  </si>
  <si>
    <t>Item</t>
  </si>
  <si>
    <t>Scrum Master</t>
  </si>
  <si>
    <t>Kevin Jimenez</t>
  </si>
  <si>
    <t>-</t>
  </si>
  <si>
    <t>Desarrollador</t>
  </si>
  <si>
    <t>Sebastian Cortes</t>
  </si>
  <si>
    <t>No incluye el contrato de mantencion</t>
  </si>
  <si>
    <t>QA</t>
  </si>
  <si>
    <t>Benjamin Urra</t>
  </si>
  <si>
    <t>TOTAL GENERAL</t>
  </si>
  <si>
    <t>Gastos generales</t>
  </si>
  <si>
    <t>Precio unitario</t>
  </si>
  <si>
    <t>Cantidad de meses</t>
  </si>
  <si>
    <t>Observacion</t>
  </si>
  <si>
    <t>Agua</t>
  </si>
  <si>
    <t>Consumo de agua total entre los 3 colaboradores</t>
  </si>
  <si>
    <t>Internet</t>
  </si>
  <si>
    <t>Consumo de internet atotal entre los 3 colaboradores</t>
  </si>
  <si>
    <t>Transporte</t>
  </si>
  <si>
    <t>Tasa de transporte total utilizada entre los 3 colaboradores</t>
  </si>
  <si>
    <t>Luz</t>
  </si>
  <si>
    <t>Horas totales todos los trabajadores</t>
  </si>
  <si>
    <t>Contrato de mantención</t>
  </si>
  <si>
    <t>Mantencion y soporte</t>
  </si>
  <si>
    <t>Costo de los sueldos del contrato de mantención</t>
  </si>
  <si>
    <t>Antedecentes</t>
  </si>
  <si>
    <t>Costos neto</t>
  </si>
  <si>
    <t>Costo con utilidad</t>
  </si>
  <si>
    <t>% de Ganacia</t>
  </si>
  <si>
    <t>Sueldos</t>
  </si>
  <si>
    <t xml:space="preserve">Contrato de mantención </t>
  </si>
  <si>
    <t>Egresos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</si>
  <si>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</si>
  <si>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</si>
  <si>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</si>
  <si>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</si>
  <si>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</si>
  <si>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</si>
  <si>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</si>
  <si>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</si>
  <si>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</si>
  <si>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</si>
  <si>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</si>
  <si>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</si>
  <si>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</si>
  <si>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</si>
  <si>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</si>
  <si>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Gastos Generales</t>
  </si>
  <si>
    <t>Total egresos</t>
  </si>
  <si>
    <t>Ingresos</t>
  </si>
  <si>
    <t>Contrato de mantencion</t>
  </si>
  <si>
    <t>Total ingresos</t>
  </si>
  <si>
    <t>Flujo</t>
  </si>
  <si>
    <t>Resumen</t>
  </si>
  <si>
    <t>Valor del proyecto</t>
  </si>
  <si>
    <t>Precio de venta</t>
  </si>
  <si>
    <t>Utilidad</t>
  </si>
  <si>
    <t>Tasa</t>
  </si>
  <si>
    <t>VAN</t>
  </si>
  <si>
    <t>TIR</t>
  </si>
  <si>
    <t>Nota: La tasa interna de retorno se vuelve inestable al no haber una inversion inicial considerable por lo cual seria mas correcto no considerar la metrica para este tipo de flujo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</si>
</sst>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theme="1"/>
      <name val="Inconsolata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17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readingOrder="0" vertical="top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3" numFmtId="0" xfId="0" applyAlignment="1" applyBorder="1" applyFont="1">
      <alignment horizontal="left" readingOrder="0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2" fontId="4" numFmtId="0" xfId="0" applyAlignment="1" applyBorder="1" applyFill="1" applyFont="1">
      <alignment readingOrder="0" vertical="bottom"/>
    </xf>
    <xf borderId="12" fillId="3" fontId="4" numFmtId="0" xfId="0" applyAlignment="1" applyBorder="1" applyFill="1" applyFont="1">
      <alignment vertical="bottom"/>
    </xf>
    <xf borderId="12" fillId="3" fontId="4" numFmtId="0" xfId="0" applyAlignment="1" applyBorder="1" applyFont="1">
      <alignment readingOrder="0" vertical="bottom"/>
    </xf>
    <xf borderId="12" fillId="4" fontId="5" numFmtId="0" xfId="0" applyAlignment="1" applyBorder="1" applyFill="1" applyFont="1">
      <alignment vertical="bottom"/>
    </xf>
    <xf borderId="12" fillId="4" fontId="5" numFmtId="0" xfId="0" applyAlignment="1" applyBorder="1" applyFont="1">
      <alignment readingOrder="0" vertical="bottom"/>
    </xf>
    <xf borderId="12" fillId="4" fontId="5" numFmtId="164" xfId="0" applyAlignment="1" applyBorder="1" applyFont="1" applyNumberFormat="1">
      <alignment horizontal="right" readingOrder="0" vertical="bottom"/>
    </xf>
    <xf borderId="12" fillId="0" fontId="5" numFmtId="0" xfId="0" applyAlignment="1" applyBorder="1" applyFont="1">
      <alignment horizontal="right" vertical="bottom"/>
    </xf>
    <xf borderId="12" fillId="0" fontId="5" numFmtId="164" xfId="0" applyAlignment="1" applyBorder="1" applyFont="1" applyNumberFormat="1">
      <alignment horizontal="right" vertical="bottom"/>
    </xf>
    <xf borderId="12" fillId="0" fontId="5" numFmtId="0" xfId="0" applyAlignment="1" applyBorder="1" applyFont="1">
      <alignment readingOrder="0" vertical="bottom"/>
    </xf>
    <xf borderId="12" fillId="0" fontId="5" numFmtId="0" xfId="0" applyAlignment="1" applyBorder="1" applyFont="1">
      <alignment vertical="bottom"/>
    </xf>
    <xf borderId="12" fillId="4" fontId="5" numFmtId="0" xfId="0" applyAlignment="1" applyBorder="1" applyFont="1">
      <alignment vertical="center"/>
    </xf>
    <xf borderId="12" fillId="4" fontId="5" numFmtId="0" xfId="0" applyAlignment="1" applyBorder="1" applyFont="1">
      <alignment readingOrder="0" vertical="center"/>
    </xf>
    <xf borderId="12" fillId="4" fontId="5" numFmtId="164" xfId="0" applyAlignment="1" applyBorder="1" applyFont="1" applyNumberFormat="1">
      <alignment horizontal="right" readingOrder="0" vertical="center"/>
    </xf>
    <xf borderId="12" fillId="0" fontId="5" numFmtId="0" xfId="0" applyAlignment="1" applyBorder="1" applyFont="1">
      <alignment horizontal="right" readingOrder="0" vertical="center"/>
    </xf>
    <xf borderId="12" fillId="0" fontId="5" numFmtId="164" xfId="0" applyAlignment="1" applyBorder="1" applyFont="1" applyNumberFormat="1">
      <alignment horizontal="right" vertical="center"/>
    </xf>
    <xf borderId="12" fillId="0" fontId="5" numFmtId="0" xfId="0" applyAlignment="1" applyBorder="1" applyFont="1">
      <alignment readingOrder="0" shrinkToFit="0" vertical="bottom" wrapText="1"/>
    </xf>
    <xf borderId="12" fillId="0" fontId="3" numFmtId="0" xfId="0" applyBorder="1" applyFont="1"/>
    <xf borderId="0" fillId="0" fontId="5" numFmtId="0" xfId="0" applyAlignment="1" applyFont="1">
      <alignment vertical="bottom"/>
    </xf>
    <xf borderId="12" fillId="3" fontId="4" numFmtId="164" xfId="0" applyAlignment="1" applyBorder="1" applyFont="1" applyNumberFormat="1">
      <alignment vertical="bottom"/>
    </xf>
    <xf borderId="13" fillId="2" fontId="4" numFmtId="0" xfId="0" applyAlignment="1" applyBorder="1" applyFont="1">
      <alignment readingOrder="0" vertical="bottom"/>
    </xf>
    <xf borderId="13" fillId="3" fontId="4" numFmtId="0" xfId="0" applyAlignment="1" applyBorder="1" applyFont="1">
      <alignment vertical="bottom"/>
    </xf>
    <xf borderId="13" fillId="3" fontId="4" numFmtId="0" xfId="0" applyAlignment="1" applyBorder="1" applyFont="1">
      <alignment readingOrder="0" vertical="bottom"/>
    </xf>
    <xf borderId="12" fillId="0" fontId="5" numFmtId="0" xfId="0" applyAlignment="1" applyBorder="1" applyFont="1">
      <alignment vertical="center"/>
    </xf>
    <xf borderId="12" fillId="0" fontId="5" numFmtId="164" xfId="0" applyAlignment="1" applyBorder="1" applyFont="1" applyNumberFormat="1">
      <alignment horizontal="right" readingOrder="0" vertical="center"/>
    </xf>
    <xf borderId="12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vertical="bottom" wrapText="1"/>
    </xf>
    <xf borderId="12" fillId="0" fontId="5" numFmtId="0" xfId="0" applyAlignment="1" applyBorder="1" applyFont="1">
      <alignment readingOrder="0" vertical="center"/>
    </xf>
    <xf borderId="12" fillId="0" fontId="5" numFmtId="0" xfId="0" applyAlignment="1" applyBorder="1" applyFont="1">
      <alignment horizontal="right" vertical="center"/>
    </xf>
    <xf borderId="0" fillId="0" fontId="5" numFmtId="0" xfId="0" applyAlignment="1" applyFont="1">
      <alignment readingOrder="0" vertical="bottom"/>
    </xf>
    <xf borderId="12" fillId="0" fontId="3" numFmtId="0" xfId="0" applyAlignment="1" applyBorder="1" applyFont="1">
      <alignment readingOrder="0" vertical="center"/>
    </xf>
    <xf borderId="12" fillId="0" fontId="3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 shrinkToFit="0" vertical="bottom" wrapText="1"/>
    </xf>
    <xf borderId="12" fillId="2" fontId="4" numFmtId="0" xfId="0" applyAlignment="1" applyBorder="1" applyFont="1">
      <alignment vertical="bottom"/>
    </xf>
    <xf borderId="12" fillId="3" fontId="4" numFmtId="0" xfId="0" applyAlignment="1" applyBorder="1" applyFont="1">
      <alignment horizontal="center" readingOrder="0" vertical="bottom"/>
    </xf>
    <xf borderId="12" fillId="5" fontId="4" numFmtId="0" xfId="0" applyAlignment="1" applyBorder="1" applyFill="1" applyFont="1">
      <alignment horizontal="center" readingOrder="0" vertical="bottom"/>
    </xf>
    <xf borderId="0" fillId="0" fontId="5" numFmtId="164" xfId="0" applyAlignment="1" applyFont="1" applyNumberFormat="1">
      <alignment horizontal="right" vertical="bottom"/>
    </xf>
    <xf borderId="12" fillId="6" fontId="1" numFmtId="0" xfId="0" applyAlignment="1" applyBorder="1" applyFill="1" applyFont="1">
      <alignment readingOrder="0"/>
    </xf>
    <xf borderId="0" fillId="0" fontId="6" numFmtId="0" xfId="0" applyAlignment="1" applyFont="1">
      <alignment vertical="bottom"/>
    </xf>
    <xf borderId="12" fillId="0" fontId="5" numFmtId="9" xfId="0" applyAlignment="1" applyBorder="1" applyFont="1" applyNumberFormat="1">
      <alignment horizontal="center" readingOrder="0" vertical="bottom"/>
    </xf>
    <xf borderId="12" fillId="6" fontId="4" numFmtId="0" xfId="0" applyAlignment="1" applyBorder="1" applyFont="1">
      <alignment vertical="bottom"/>
    </xf>
    <xf borderId="12" fillId="0" fontId="5" numFmtId="164" xfId="0" applyAlignment="1" applyBorder="1" applyFont="1" applyNumberFormat="1">
      <alignment vertical="bottom"/>
    </xf>
    <xf borderId="12" fillId="2" fontId="5" numFmtId="0" xfId="0" applyAlignment="1" applyBorder="1" applyFont="1">
      <alignment vertical="bottom"/>
    </xf>
    <xf borderId="12" fillId="6" fontId="5" numFmtId="0" xfId="0" applyAlignment="1" applyBorder="1" applyFont="1">
      <alignment vertical="bottom"/>
    </xf>
    <xf borderId="12" fillId="6" fontId="5" numFmtId="0" xfId="0" applyAlignment="1" applyBorder="1" applyFont="1">
      <alignment readingOrder="0" vertical="bottom"/>
    </xf>
    <xf borderId="12" fillId="0" fontId="5" numFmtId="164" xfId="0" applyAlignment="1" applyBorder="1" applyFont="1" applyNumberFormat="1">
      <alignment horizontal="right" readingOrder="0" vertical="bottom"/>
    </xf>
    <xf borderId="12" fillId="6" fontId="5" numFmtId="0" xfId="0" applyAlignment="1" applyBorder="1" applyFont="1">
      <alignment readingOrder="0" shrinkToFit="0" vertical="center" wrapText="1"/>
    </xf>
    <xf borderId="0" fillId="0" fontId="5" numFmtId="1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14" fillId="7" fontId="4" numFmtId="0" xfId="0" applyAlignment="1" applyBorder="1" applyFill="1" applyFont="1">
      <alignment horizontal="center" readingOrder="0" vertical="bottom"/>
    </xf>
    <xf borderId="15" fillId="0" fontId="2" numFmtId="0" xfId="0" applyBorder="1" applyFont="1"/>
    <xf borderId="12" fillId="5" fontId="4" numFmtId="0" xfId="0" applyAlignment="1" applyBorder="1" applyFont="1">
      <alignment horizontal="left" readingOrder="0" vertical="bottom"/>
    </xf>
    <xf borderId="12" fillId="0" fontId="5" numFmtId="164" xfId="0" applyAlignment="1" applyBorder="1" applyFont="1" applyNumberFormat="1">
      <alignment horizontal="center" vertical="bottom"/>
    </xf>
    <xf borderId="16" fillId="5" fontId="4" numFmtId="0" xfId="0" applyAlignment="1" applyBorder="1" applyFont="1">
      <alignment horizontal="left" readingOrder="0" vertical="bottom"/>
    </xf>
    <xf borderId="16" fillId="0" fontId="5" numFmtId="164" xfId="0" applyAlignment="1" applyBorder="1" applyFont="1" applyNumberFormat="1">
      <alignment horizontal="center" vertical="bottom"/>
    </xf>
    <xf borderId="0" fillId="0" fontId="7" numFmtId="4" xfId="0" applyAlignment="1" applyFont="1" applyNumberFormat="1">
      <alignment horizontal="right" vertical="bottom"/>
    </xf>
    <xf borderId="13" fillId="5" fontId="4" numFmtId="0" xfId="0" applyAlignment="1" applyBorder="1" applyFont="1">
      <alignment horizontal="left" readingOrder="0" vertical="bottom"/>
    </xf>
    <xf borderId="13" fillId="0" fontId="5" numFmtId="9" xfId="0" applyAlignment="1" applyBorder="1" applyFont="1" applyNumberFormat="1">
      <alignment horizontal="center" readingOrder="0" vertical="bottom"/>
    </xf>
    <xf borderId="12" fillId="5" fontId="4" numFmtId="0" xfId="0" applyAlignment="1" applyBorder="1" applyFont="1">
      <alignment horizontal="left" readingOrder="0" vertical="top"/>
    </xf>
    <xf borderId="12" fillId="0" fontId="5" numFmtId="9" xfId="0" applyAlignment="1" applyBorder="1" applyFont="1" applyNumberFormat="1">
      <alignment horizontal="center" vertical="top"/>
    </xf>
    <xf borderId="0" fillId="0" fontId="5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D4" s="1" t="s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3"/>
    </row>
    <row r="6">
      <c r="D6" s="4" t="s">
        <v>1</v>
      </c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9"/>
    </row>
    <row r="8">
      <c r="D8" s="10" t="s">
        <v>2</v>
      </c>
      <c r="E8" s="5"/>
      <c r="F8" s="5"/>
      <c r="G8" s="5"/>
      <c r="H8" s="5"/>
      <c r="I8" s="5"/>
      <c r="J8" s="5"/>
      <c r="K8" s="5"/>
      <c r="L8" s="5"/>
      <c r="M8" s="5"/>
      <c r="N8" s="5"/>
      <c r="O8" s="6"/>
    </row>
    <row r="9">
      <c r="D9" s="11"/>
      <c r="O9" s="12"/>
    </row>
    <row r="10">
      <c r="D10" s="11"/>
      <c r="O10" s="12"/>
    </row>
    <row r="11"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>
      <c r="D12" s="10" t="s">
        <v>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</row>
    <row r="13"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</row>
  </sheetData>
  <mergeCells count="4">
    <mergeCell ref="D4:O4"/>
    <mergeCell ref="D6:O7"/>
    <mergeCell ref="D8:O11"/>
    <mergeCell ref="D12:O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7.38"/>
    <col customWidth="1" min="3" max="3" width="19.38"/>
    <col customWidth="1" min="4" max="4" width="18.13"/>
    <col customWidth="1" min="5" max="5" width="21.75"/>
    <col customWidth="1" min="6" max="6" width="19.38"/>
    <col customWidth="1" min="7" max="7" width="18.5"/>
    <col customWidth="1" min="8" max="8" width="31.88"/>
    <col customWidth="1" min="9" max="9" width="12.13"/>
  </cols>
  <sheetData>
    <row r="3">
      <c r="A3" s="13" t="s">
        <v>4</v>
      </c>
      <c r="B3" s="14" t="s">
        <v>5</v>
      </c>
      <c r="C3" s="14" t="s">
        <v>6</v>
      </c>
      <c r="D3" s="14" t="s">
        <v>7</v>
      </c>
      <c r="E3" s="14" t="s">
        <v>8</v>
      </c>
      <c r="F3" s="15" t="s">
        <v>9</v>
      </c>
      <c r="H3" s="14" t="s">
        <v>10</v>
      </c>
      <c r="I3" s="14" t="s">
        <v>8</v>
      </c>
    </row>
    <row r="4">
      <c r="A4" s="16" t="s">
        <v>11</v>
      </c>
      <c r="B4" s="17" t="s">
        <v>12</v>
      </c>
      <c r="C4" s="18">
        <v>11812.0</v>
      </c>
      <c r="D4" s="19">
        <v>325.0</v>
      </c>
      <c r="E4" s="20">
        <f t="shared" ref="E4:E6" si="1">C4*D4</f>
        <v>3838900</v>
      </c>
      <c r="F4" s="21" t="s">
        <v>13</v>
      </c>
      <c r="H4" s="22" t="str">
        <f>A3</f>
        <v>Trabajadores</v>
      </c>
      <c r="I4" s="20">
        <f>SUM(E4:E6)</f>
        <v>9688900</v>
      </c>
    </row>
    <row r="5">
      <c r="A5" s="23" t="s">
        <v>14</v>
      </c>
      <c r="B5" s="24" t="s">
        <v>15</v>
      </c>
      <c r="C5" s="25">
        <v>9500.0</v>
      </c>
      <c r="D5" s="26">
        <f>325</f>
        <v>325</v>
      </c>
      <c r="E5" s="27">
        <f t="shared" si="1"/>
        <v>3087500</v>
      </c>
      <c r="F5" s="28" t="s">
        <v>16</v>
      </c>
      <c r="H5" s="21" t="str">
        <f>A8</f>
        <v>Gastos generales</v>
      </c>
      <c r="I5" s="20">
        <f>SUM(D9:D12)</f>
        <v>231580</v>
      </c>
    </row>
    <row r="6">
      <c r="A6" s="17" t="s">
        <v>17</v>
      </c>
      <c r="B6" s="17" t="s">
        <v>18</v>
      </c>
      <c r="C6" s="18">
        <v>8500.0</v>
      </c>
      <c r="D6" s="19">
        <v>325.0</v>
      </c>
      <c r="E6" s="20">
        <f t="shared" si="1"/>
        <v>2762500</v>
      </c>
      <c r="F6" s="21" t="s">
        <v>13</v>
      </c>
      <c r="H6" s="29" t="str">
        <f>A14</f>
        <v>Contrato de mantención</v>
      </c>
      <c r="I6" s="20">
        <f>E15</f>
        <v>1900000</v>
      </c>
    </row>
    <row r="7">
      <c r="A7" s="30"/>
      <c r="B7" s="30"/>
      <c r="C7" s="30"/>
      <c r="D7" s="30"/>
      <c r="E7" s="30"/>
      <c r="F7" s="30"/>
      <c r="H7" s="13" t="s">
        <v>19</v>
      </c>
      <c r="I7" s="31">
        <f>SUM(I4:I6)</f>
        <v>11820480</v>
      </c>
    </row>
    <row r="8">
      <c r="A8" s="32" t="s">
        <v>20</v>
      </c>
      <c r="B8" s="33" t="s">
        <v>21</v>
      </c>
      <c r="C8" s="33" t="s">
        <v>22</v>
      </c>
      <c r="D8" s="33" t="s">
        <v>8</v>
      </c>
      <c r="E8" s="34" t="s">
        <v>23</v>
      </c>
      <c r="H8" s="30"/>
      <c r="I8" s="31">
        <f>I7*1.6</f>
        <v>18912768</v>
      </c>
    </row>
    <row r="9">
      <c r="A9" s="35" t="s">
        <v>24</v>
      </c>
      <c r="B9" s="36">
        <v>10000.0</v>
      </c>
      <c r="C9" s="26">
        <v>2.0</v>
      </c>
      <c r="D9" s="27">
        <f t="shared" ref="D9:D10" si="2">B9*C9</f>
        <v>20000</v>
      </c>
      <c r="E9" s="37" t="s">
        <v>25</v>
      </c>
    </row>
    <row r="10">
      <c r="A10" s="35" t="s">
        <v>26</v>
      </c>
      <c r="B10" s="36">
        <v>28000.0</v>
      </c>
      <c r="C10" s="26">
        <v>2.0</v>
      </c>
      <c r="D10" s="27">
        <f t="shared" si="2"/>
        <v>56000</v>
      </c>
      <c r="E10" s="28" t="s">
        <v>27</v>
      </c>
    </row>
    <row r="11">
      <c r="A11" s="35" t="s">
        <v>28</v>
      </c>
      <c r="B11" s="36">
        <v>24000.0</v>
      </c>
      <c r="C11" s="26">
        <v>2.0</v>
      </c>
      <c r="D11" s="27">
        <f>C11*B11</f>
        <v>48000</v>
      </c>
      <c r="E11" s="28" t="s">
        <v>29</v>
      </c>
      <c r="G11" s="38"/>
      <c r="H11" s="30"/>
      <c r="I11" s="30"/>
    </row>
    <row r="12">
      <c r="A12" s="39" t="s">
        <v>30</v>
      </c>
      <c r="B12" s="36">
        <v>220.0</v>
      </c>
      <c r="C12" s="40">
        <f>(0.5*326)*3</f>
        <v>489</v>
      </c>
      <c r="D12" s="27">
        <f>B12*C12</f>
        <v>107580</v>
      </c>
      <c r="E12" s="37" t="s">
        <v>31</v>
      </c>
      <c r="G12" s="30"/>
      <c r="H12" s="30"/>
      <c r="I12" s="30"/>
    </row>
    <row r="13">
      <c r="G13" s="30"/>
      <c r="H13" s="30"/>
      <c r="I13" s="30"/>
    </row>
    <row r="14">
      <c r="A14" s="13" t="s">
        <v>32</v>
      </c>
      <c r="B14" s="14" t="s">
        <v>5</v>
      </c>
      <c r="C14" s="14" t="s">
        <v>6</v>
      </c>
      <c r="D14" s="14" t="s">
        <v>7</v>
      </c>
      <c r="E14" s="14" t="s">
        <v>8</v>
      </c>
      <c r="F14" s="15" t="s">
        <v>9</v>
      </c>
      <c r="G14" s="30"/>
      <c r="H14" s="41"/>
      <c r="I14" s="30"/>
    </row>
    <row r="15">
      <c r="A15" s="42" t="s">
        <v>33</v>
      </c>
      <c r="B15" s="24" t="s">
        <v>15</v>
      </c>
      <c r="C15" s="25">
        <v>9500.0</v>
      </c>
      <c r="D15" s="42">
        <v>200.0</v>
      </c>
      <c r="E15" s="27">
        <f>C15*D15</f>
        <v>1900000</v>
      </c>
      <c r="F15" s="43" t="s">
        <v>34</v>
      </c>
      <c r="G15" s="30"/>
      <c r="H15" s="44"/>
      <c r="I15" s="30"/>
    </row>
    <row r="16">
      <c r="G16" s="30"/>
      <c r="H16" s="30"/>
      <c r="I16" s="30"/>
    </row>
    <row r="17">
      <c r="G17" s="30"/>
      <c r="H17" s="30"/>
      <c r="I17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5.5"/>
  </cols>
  <sheetData>
    <row r="1">
      <c r="A1" s="45" t="s">
        <v>35</v>
      </c>
      <c r="B1" s="46" t="s">
        <v>36</v>
      </c>
      <c r="C1" s="46" t="s">
        <v>37</v>
      </c>
      <c r="D1" s="30"/>
      <c r="E1" s="47" t="s">
        <v>38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48"/>
    </row>
    <row r="2">
      <c r="A2" s="49" t="s">
        <v>39</v>
      </c>
      <c r="B2" s="20">
        <f>'Plan De Costos'!I4</f>
        <v>9688900</v>
      </c>
      <c r="C2" s="20">
        <f>B2*(E2+100%)</f>
        <v>15502240</v>
      </c>
      <c r="D2" s="50"/>
      <c r="E2" s="51">
        <v>0.6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48"/>
    </row>
    <row r="3">
      <c r="A3" s="52" t="s">
        <v>40</v>
      </c>
      <c r="B3" s="20">
        <f>'Plan De Costos'!I6</f>
        <v>1900000</v>
      </c>
      <c r="C3" s="20">
        <f>B3*(E2+100%)</f>
        <v>3040000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8"/>
    </row>
    <row r="4">
      <c r="A4" s="15" t="s">
        <v>20</v>
      </c>
      <c r="B4" s="53">
        <f>'Plan De Costos'!I5</f>
        <v>231580</v>
      </c>
      <c r="C4" s="20">
        <f>B4*(E2+100%)</f>
        <v>370528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48"/>
    </row>
    <row r="5">
      <c r="A5" s="15" t="s">
        <v>8</v>
      </c>
      <c r="B5" s="53">
        <f t="shared" ref="B5:C5" si="1">SUM(B2:B4)</f>
        <v>11820480</v>
      </c>
      <c r="C5" s="53">
        <f t="shared" si="1"/>
        <v>18912768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48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48"/>
    </row>
    <row r="7">
      <c r="A7" s="30"/>
      <c r="Q7" s="30"/>
      <c r="R7" s="30"/>
      <c r="S7" s="48"/>
    </row>
    <row r="8">
      <c r="A8" s="54" t="s">
        <v>41</v>
      </c>
      <c r="B8" s="55" t="s">
        <v>42</v>
      </c>
      <c r="C8" s="55" t="s">
        <v>43</v>
      </c>
      <c r="D8" s="55" t="s">
        <v>44</v>
      </c>
      <c r="E8" s="55" t="s">
        <v>45</v>
      </c>
      <c r="F8" s="55" t="s">
        <v>46</v>
      </c>
      <c r="G8" s="55" t="s">
        <v>47</v>
      </c>
      <c r="H8" s="55" t="s">
        <v>48</v>
      </c>
      <c r="I8" s="55" t="s">
        <v>49</v>
      </c>
      <c r="J8" s="55" t="s">
        <v>50</v>
      </c>
      <c r="K8" s="55" t="s">
        <v>51</v>
      </c>
      <c r="L8" s="55" t="s">
        <v>52</v>
      </c>
      <c r="M8" s="55" t="s">
        <v>53</v>
      </c>
      <c r="N8" s="55" t="s">
        <v>54</v>
      </c>
      <c r="O8" s="55" t="s">
        <v>55</v>
      </c>
      <c r="P8" s="55" t="s">
        <v>56</v>
      </c>
      <c r="Q8" s="55" t="s">
        <v>8</v>
      </c>
      <c r="R8" s="30"/>
      <c r="S8" s="48"/>
    </row>
    <row r="9">
      <c r="A9" s="56" t="s">
        <v>39</v>
      </c>
      <c r="B9" s="36">
        <v>0.0</v>
      </c>
      <c r="C9" s="27">
        <f>B2/3</f>
        <v>3229633.333</v>
      </c>
      <c r="D9" s="20">
        <f>B2/3</f>
        <v>3229633.333</v>
      </c>
      <c r="E9" s="20">
        <f>B2/3</f>
        <v>3229633.333</v>
      </c>
      <c r="F9" s="57">
        <f>B3/12</f>
        <v>158333.3333</v>
      </c>
      <c r="G9" s="57">
        <f>B3/12</f>
        <v>158333.3333</v>
      </c>
      <c r="H9" s="20">
        <f>B3/12</f>
        <v>158333.3333</v>
      </c>
      <c r="I9" s="20">
        <f>B3/12</f>
        <v>158333.3333</v>
      </c>
      <c r="J9" s="20">
        <f>B3/12</f>
        <v>158333.3333</v>
      </c>
      <c r="K9" s="20">
        <f>B3/12</f>
        <v>158333.3333</v>
      </c>
      <c r="L9" s="20">
        <f>B3/12</f>
        <v>158333.3333</v>
      </c>
      <c r="M9" s="20">
        <f>B3/12</f>
        <v>158333.3333</v>
      </c>
      <c r="N9" s="20">
        <f>B3/12</f>
        <v>158333.3333</v>
      </c>
      <c r="O9" s="20">
        <f>B3/12</f>
        <v>158333.3333</v>
      </c>
      <c r="P9" s="20">
        <f>B3/12</f>
        <v>158333.3333</v>
      </c>
      <c r="Q9" s="20">
        <f t="shared" ref="Q9:Q11" si="2">SUM(C9:P9)</f>
        <v>11430566.67</v>
      </c>
      <c r="R9" s="30"/>
      <c r="S9" s="48"/>
    </row>
    <row r="10">
      <c r="A10" s="56" t="s">
        <v>57</v>
      </c>
      <c r="B10" s="57">
        <v>0.0</v>
      </c>
      <c r="C10" s="20">
        <f>'Plan De Costos'!I5/3</f>
        <v>77193.33333</v>
      </c>
      <c r="D10" s="20">
        <f>'Plan De Costos'!I5/3</f>
        <v>77193.33333</v>
      </c>
      <c r="E10" s="20">
        <f>'Plan De Costos'!I5/3</f>
        <v>77193.33333</v>
      </c>
      <c r="F10" s="57">
        <v>0.0</v>
      </c>
      <c r="G10" s="57">
        <v>0.0</v>
      </c>
      <c r="H10" s="20">
        <v>0.0</v>
      </c>
      <c r="I10" s="20">
        <v>0.0</v>
      </c>
      <c r="J10" s="20">
        <v>0.0</v>
      </c>
      <c r="K10" s="20">
        <v>0.0</v>
      </c>
      <c r="L10" s="20">
        <v>0.0</v>
      </c>
      <c r="M10" s="20">
        <v>0.0</v>
      </c>
      <c r="N10" s="20">
        <v>0.0</v>
      </c>
      <c r="O10" s="20">
        <v>0.0</v>
      </c>
      <c r="P10" s="20">
        <v>0.0</v>
      </c>
      <c r="Q10" s="20">
        <f t="shared" si="2"/>
        <v>231580</v>
      </c>
      <c r="R10" s="30"/>
      <c r="S10" s="48"/>
    </row>
    <row r="11">
      <c r="A11" s="55" t="s">
        <v>58</v>
      </c>
      <c r="B11" s="20">
        <f t="shared" ref="B11:P11" si="3">SUM(B9:B10)</f>
        <v>0</v>
      </c>
      <c r="C11" s="20">
        <f t="shared" si="3"/>
        <v>3306826.667</v>
      </c>
      <c r="D11" s="20">
        <f t="shared" si="3"/>
        <v>3306826.667</v>
      </c>
      <c r="E11" s="20">
        <f t="shared" si="3"/>
        <v>3306826.667</v>
      </c>
      <c r="F11" s="20">
        <f t="shared" si="3"/>
        <v>158333.3333</v>
      </c>
      <c r="G11" s="20">
        <f t="shared" si="3"/>
        <v>158333.3333</v>
      </c>
      <c r="H11" s="20">
        <f t="shared" si="3"/>
        <v>158333.3333</v>
      </c>
      <c r="I11" s="20">
        <f t="shared" si="3"/>
        <v>158333.3333</v>
      </c>
      <c r="J11" s="20">
        <f t="shared" si="3"/>
        <v>158333.3333</v>
      </c>
      <c r="K11" s="20">
        <f t="shared" si="3"/>
        <v>158333.3333</v>
      </c>
      <c r="L11" s="20">
        <f t="shared" si="3"/>
        <v>158333.3333</v>
      </c>
      <c r="M11" s="20">
        <f t="shared" si="3"/>
        <v>158333.3333</v>
      </c>
      <c r="N11" s="20">
        <f t="shared" si="3"/>
        <v>158333.3333</v>
      </c>
      <c r="O11" s="20">
        <f t="shared" si="3"/>
        <v>158333.3333</v>
      </c>
      <c r="P11" s="20">
        <f t="shared" si="3"/>
        <v>158333.3333</v>
      </c>
      <c r="Q11" s="53">
        <f t="shared" si="2"/>
        <v>11662146.67</v>
      </c>
      <c r="R11" s="30"/>
      <c r="S11" s="48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>
      <c r="A13" s="5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  <row r="14">
      <c r="A14" s="54" t="s">
        <v>59</v>
      </c>
      <c r="B14" s="56" t="s">
        <v>42</v>
      </c>
      <c r="C14" s="56" t="s">
        <v>43</v>
      </c>
      <c r="D14" s="55" t="s">
        <v>44</v>
      </c>
      <c r="E14" s="55" t="s">
        <v>45</v>
      </c>
      <c r="F14" s="55" t="s">
        <v>46</v>
      </c>
      <c r="G14" s="55" t="s">
        <v>47</v>
      </c>
      <c r="H14" s="55" t="s">
        <v>48</v>
      </c>
      <c r="I14" s="55" t="s">
        <v>49</v>
      </c>
      <c r="J14" s="55" t="s">
        <v>50</v>
      </c>
      <c r="K14" s="55" t="s">
        <v>51</v>
      </c>
      <c r="L14" s="55" t="s">
        <v>52</v>
      </c>
      <c r="M14" s="55" t="s">
        <v>53</v>
      </c>
      <c r="N14" s="55" t="s">
        <v>54</v>
      </c>
      <c r="O14" s="55" t="s">
        <v>55</v>
      </c>
      <c r="P14" s="55" t="s">
        <v>56</v>
      </c>
      <c r="Q14" s="30"/>
      <c r="R14" s="30"/>
      <c r="S14" s="30"/>
    </row>
    <row r="15">
      <c r="A15" s="58" t="s">
        <v>39</v>
      </c>
      <c r="B15" s="36">
        <v>0.0</v>
      </c>
      <c r="C15" s="27">
        <f>B2/3</f>
        <v>3229633.333</v>
      </c>
      <c r="D15" s="27">
        <f>B2/3</f>
        <v>3229633.333</v>
      </c>
      <c r="E15" s="27">
        <f>B2/3</f>
        <v>3229633.333</v>
      </c>
      <c r="F15" s="36">
        <f>C2-B2</f>
        <v>5813340</v>
      </c>
      <c r="G15" s="27">
        <f t="shared" ref="G15:P15" si="4">0</f>
        <v>0</v>
      </c>
      <c r="H15" s="27">
        <f t="shared" si="4"/>
        <v>0</v>
      </c>
      <c r="I15" s="27">
        <f t="shared" si="4"/>
        <v>0</v>
      </c>
      <c r="J15" s="27">
        <f t="shared" si="4"/>
        <v>0</v>
      </c>
      <c r="K15" s="27">
        <f t="shared" si="4"/>
        <v>0</v>
      </c>
      <c r="L15" s="27">
        <f t="shared" si="4"/>
        <v>0</v>
      </c>
      <c r="M15" s="27">
        <f t="shared" si="4"/>
        <v>0</v>
      </c>
      <c r="N15" s="27">
        <f t="shared" si="4"/>
        <v>0</v>
      </c>
      <c r="O15" s="27">
        <f t="shared" si="4"/>
        <v>0</v>
      </c>
      <c r="P15" s="27">
        <f t="shared" si="4"/>
        <v>0</v>
      </c>
      <c r="Q15" s="30"/>
      <c r="R15" s="30"/>
      <c r="S15" s="30"/>
    </row>
    <row r="16">
      <c r="A16" s="56" t="s">
        <v>60</v>
      </c>
      <c r="B16" s="36">
        <v>0.0</v>
      </c>
      <c r="C16" s="36">
        <v>0.0</v>
      </c>
      <c r="D16" s="36">
        <v>0.0</v>
      </c>
      <c r="E16" s="27">
        <f>C3/12</f>
        <v>253333.3333</v>
      </c>
      <c r="F16" s="27">
        <f>C3/12</f>
        <v>253333.3333</v>
      </c>
      <c r="G16" s="27">
        <f>C3/12</f>
        <v>253333.3333</v>
      </c>
      <c r="H16" s="27">
        <f>C3/12</f>
        <v>253333.3333</v>
      </c>
      <c r="I16" s="27">
        <f>C3/12</f>
        <v>253333.3333</v>
      </c>
      <c r="J16" s="27">
        <f>C3/12</f>
        <v>253333.3333</v>
      </c>
      <c r="K16" s="27">
        <f>C3/12</f>
        <v>253333.3333</v>
      </c>
      <c r="L16" s="27">
        <f>C3/12</f>
        <v>253333.3333</v>
      </c>
      <c r="M16" s="27">
        <f>C3/12</f>
        <v>253333.3333</v>
      </c>
      <c r="N16" s="27">
        <f>C3/12</f>
        <v>253333.3333</v>
      </c>
      <c r="O16" s="27">
        <f>C3/12</f>
        <v>253333.3333</v>
      </c>
      <c r="P16" s="27">
        <f>C3/12</f>
        <v>253333.3333</v>
      </c>
      <c r="Q16" s="30"/>
      <c r="R16" s="30"/>
      <c r="S16" s="48"/>
    </row>
    <row r="17">
      <c r="A17" s="55" t="s">
        <v>61</v>
      </c>
      <c r="B17" s="36">
        <v>0.0</v>
      </c>
      <c r="C17" s="27">
        <f t="shared" ref="C17:P17" si="5">SUM(C15:C16)</f>
        <v>3229633.333</v>
      </c>
      <c r="D17" s="27">
        <f t="shared" si="5"/>
        <v>3229633.333</v>
      </c>
      <c r="E17" s="27">
        <f t="shared" si="5"/>
        <v>3482966.667</v>
      </c>
      <c r="F17" s="27">
        <f t="shared" si="5"/>
        <v>6066673.333</v>
      </c>
      <c r="G17" s="27">
        <f t="shared" si="5"/>
        <v>253333.3333</v>
      </c>
      <c r="H17" s="27">
        <f t="shared" si="5"/>
        <v>253333.3333</v>
      </c>
      <c r="I17" s="27">
        <f t="shared" si="5"/>
        <v>253333.3333</v>
      </c>
      <c r="J17" s="27">
        <f t="shared" si="5"/>
        <v>253333.3333</v>
      </c>
      <c r="K17" s="27">
        <f t="shared" si="5"/>
        <v>253333.3333</v>
      </c>
      <c r="L17" s="27">
        <f t="shared" si="5"/>
        <v>253333.3333</v>
      </c>
      <c r="M17" s="27">
        <f t="shared" si="5"/>
        <v>253333.3333</v>
      </c>
      <c r="N17" s="27">
        <f t="shared" si="5"/>
        <v>253333.3333</v>
      </c>
      <c r="O17" s="27">
        <f t="shared" si="5"/>
        <v>253333.3333</v>
      </c>
      <c r="P17" s="27">
        <f t="shared" si="5"/>
        <v>253333.3333</v>
      </c>
      <c r="Q17" s="30"/>
      <c r="R17" s="30"/>
      <c r="S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>
      <c r="A19" s="54" t="s">
        <v>62</v>
      </c>
      <c r="B19" s="20">
        <f t="shared" ref="B19:P19" si="6">B17-B11</f>
        <v>0</v>
      </c>
      <c r="C19" s="20">
        <f t="shared" si="6"/>
        <v>-77193.33333</v>
      </c>
      <c r="D19" s="20">
        <f t="shared" si="6"/>
        <v>-77193.33333</v>
      </c>
      <c r="E19" s="20">
        <f t="shared" si="6"/>
        <v>176140</v>
      </c>
      <c r="F19" s="20">
        <f t="shared" si="6"/>
        <v>5908340</v>
      </c>
      <c r="G19" s="20">
        <f t="shared" si="6"/>
        <v>95000</v>
      </c>
      <c r="H19" s="20">
        <f t="shared" si="6"/>
        <v>95000</v>
      </c>
      <c r="I19" s="20">
        <f t="shared" si="6"/>
        <v>95000</v>
      </c>
      <c r="J19" s="20">
        <f t="shared" si="6"/>
        <v>95000</v>
      </c>
      <c r="K19" s="20">
        <f t="shared" si="6"/>
        <v>95000</v>
      </c>
      <c r="L19" s="20">
        <f t="shared" si="6"/>
        <v>95000</v>
      </c>
      <c r="M19" s="20">
        <f t="shared" si="6"/>
        <v>95000</v>
      </c>
      <c r="N19" s="20">
        <f t="shared" si="6"/>
        <v>95000</v>
      </c>
      <c r="O19" s="20">
        <f t="shared" si="6"/>
        <v>95000</v>
      </c>
      <c r="P19" s="20">
        <f t="shared" si="6"/>
        <v>95000</v>
      </c>
      <c r="Q19" s="30"/>
      <c r="R19" s="30"/>
      <c r="S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>
      <c r="A21" s="30"/>
      <c r="B21" s="59"/>
      <c r="C21" s="30"/>
      <c r="D21" s="60"/>
      <c r="E21" s="30"/>
      <c r="F21" s="5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>
      <c r="A22" s="61" t="s">
        <v>63</v>
      </c>
      <c r="B22" s="62"/>
      <c r="C22" s="60"/>
      <c r="D22" s="60"/>
      <c r="E22" s="30"/>
      <c r="F22" s="5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</row>
    <row r="23">
      <c r="A23" s="63" t="s">
        <v>64</v>
      </c>
      <c r="B23" s="64">
        <f>B5</f>
        <v>11820480</v>
      </c>
      <c r="C23" s="30"/>
      <c r="D23" s="30"/>
      <c r="E23" s="41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</row>
    <row r="24">
      <c r="A24" s="63" t="s">
        <v>38</v>
      </c>
      <c r="B24" s="51">
        <v>0.6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</row>
    <row r="25">
      <c r="A25" s="65" t="s">
        <v>65</v>
      </c>
      <c r="B25" s="66">
        <f>C5</f>
        <v>18912768</v>
      </c>
      <c r="C25" s="4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7"/>
      <c r="S25" s="30"/>
    </row>
    <row r="26">
      <c r="A26" s="63" t="s">
        <v>66</v>
      </c>
      <c r="B26" s="64">
        <f>B25-B23</f>
        <v>7092288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</row>
    <row r="27">
      <c r="A27" s="68" t="s">
        <v>67</v>
      </c>
      <c r="B27" s="69">
        <v>0.08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</row>
    <row r="28">
      <c r="A28" s="63" t="s">
        <v>68</v>
      </c>
      <c r="B28" s="64">
        <f t="array" ref="B28">NPV(B27,B19:P19)</f>
        <v>4456968.708</v>
      </c>
      <c r="C28" s="30" t="str">
        <f>IF(B28&gt;0,"==&gt; Proyecto viable","==&gt; Proyecto no viable")</f>
        <v>==&gt; Proyecto viable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</row>
    <row r="29">
      <c r="A29" s="70" t="s">
        <v>69</v>
      </c>
      <c r="B29" s="71">
        <f>IRR(B19:P19)</f>
        <v>3.109908481</v>
      </c>
      <c r="C29" s="72" t="s">
        <v>70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>
      <c r="A30" s="30"/>
      <c r="B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</row>
    <row r="31">
      <c r="A31" s="30"/>
      <c r="B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</row>
    <row r="32">
      <c r="A32" s="30"/>
      <c r="B32" s="30"/>
      <c r="E32" s="30"/>
      <c r="F32" s="30"/>
      <c r="G32" s="30"/>
      <c r="H32" s="30"/>
      <c r="I32" s="41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>
      <c r="A33" s="30"/>
      <c r="B33" s="30"/>
      <c r="E33" s="48"/>
      <c r="F33" s="48"/>
      <c r="G33" s="30"/>
      <c r="H33" s="30"/>
      <c r="I33" s="48"/>
      <c r="J33" s="30"/>
      <c r="K33" s="30"/>
      <c r="L33" s="48"/>
      <c r="M33" s="30"/>
      <c r="N33" s="30"/>
      <c r="O33" s="30"/>
      <c r="P33" s="30"/>
      <c r="Q33" s="30"/>
      <c r="R33" s="30"/>
      <c r="S33" s="30"/>
    </row>
    <row r="34">
      <c r="A34" s="30"/>
      <c r="B34" s="48"/>
      <c r="E34" s="48"/>
      <c r="F34" s="48"/>
      <c r="G34" s="30"/>
      <c r="H34" s="30"/>
      <c r="I34" s="48"/>
      <c r="J34" s="30"/>
      <c r="K34" s="30"/>
      <c r="L34" s="48"/>
      <c r="M34" s="30"/>
      <c r="N34" s="30"/>
      <c r="O34" s="30"/>
      <c r="P34" s="30"/>
      <c r="Q34" s="30"/>
      <c r="R34" s="30"/>
      <c r="S34" s="30"/>
    </row>
    <row r="35">
      <c r="A35" s="30"/>
      <c r="B35" s="48"/>
      <c r="C35" s="48"/>
      <c r="D35" s="48"/>
      <c r="E35" s="48"/>
      <c r="F35" s="48"/>
      <c r="G35" s="30"/>
      <c r="H35" s="30"/>
      <c r="I35" s="48"/>
      <c r="J35" s="30"/>
      <c r="K35" s="30"/>
      <c r="L35" s="48"/>
      <c r="M35" s="30"/>
      <c r="N35" s="30"/>
      <c r="O35" s="30"/>
      <c r="P35" s="30"/>
      <c r="Q35" s="30"/>
      <c r="R35" s="30"/>
      <c r="S35" s="30"/>
    </row>
    <row r="36">
      <c r="A36" s="30"/>
      <c r="B36" s="48"/>
      <c r="C36" s="48"/>
      <c r="D36" s="48"/>
      <c r="E36" s="48"/>
      <c r="F36" s="48"/>
      <c r="G36" s="30"/>
      <c r="H36" s="30"/>
      <c r="I36" s="30"/>
      <c r="J36" s="30"/>
      <c r="K36" s="30"/>
      <c r="L36" s="48"/>
      <c r="M36" s="30"/>
      <c r="N36" s="30"/>
      <c r="O36" s="30"/>
      <c r="P36" s="30"/>
      <c r="Q36" s="30"/>
      <c r="R36" s="30"/>
      <c r="S36" s="30"/>
    </row>
    <row r="37">
      <c r="A37" s="30"/>
      <c r="B37" s="48"/>
      <c r="C37" s="48"/>
      <c r="D37" s="48"/>
      <c r="E37" s="48"/>
      <c r="F37" s="48"/>
      <c r="G37" s="30"/>
      <c r="H37" s="30"/>
      <c r="I37" s="60"/>
      <c r="J37" s="30"/>
      <c r="K37" s="30"/>
      <c r="L37" s="48"/>
      <c r="M37" s="30"/>
      <c r="N37" s="30"/>
      <c r="O37" s="30"/>
      <c r="P37" s="30"/>
      <c r="Q37" s="30"/>
      <c r="R37" s="30"/>
      <c r="S37" s="30"/>
    </row>
    <row r="38">
      <c r="A38" s="30"/>
      <c r="B38" s="48"/>
      <c r="C38" s="48"/>
      <c r="D38" s="48"/>
      <c r="E38" s="48"/>
      <c r="F38" s="48"/>
      <c r="G38" s="30"/>
      <c r="H38" s="30"/>
      <c r="I38" s="48"/>
      <c r="J38" s="30"/>
      <c r="K38" s="30"/>
      <c r="L38" s="48"/>
      <c r="M38" s="30"/>
      <c r="N38" s="30"/>
      <c r="O38" s="30"/>
      <c r="P38" s="30"/>
      <c r="Q38" s="30"/>
      <c r="R38" s="30"/>
      <c r="S38" s="30"/>
    </row>
    <row r="39">
      <c r="A39" s="30"/>
      <c r="B39" s="73"/>
      <c r="C39" s="73"/>
      <c r="D39" s="73"/>
      <c r="E39" s="73"/>
      <c r="F39" s="73"/>
      <c r="G39" s="30"/>
      <c r="H39" s="30"/>
      <c r="I39" s="48"/>
      <c r="J39" s="30"/>
      <c r="K39" s="30"/>
      <c r="L39" s="60"/>
      <c r="M39" s="30"/>
      <c r="N39" s="30"/>
      <c r="O39" s="30"/>
      <c r="P39" s="30"/>
      <c r="Q39" s="30"/>
      <c r="R39" s="30"/>
      <c r="S39" s="30"/>
    </row>
    <row r="40">
      <c r="A40" s="30"/>
      <c r="B40" s="48"/>
      <c r="C40" s="48"/>
      <c r="D40" s="48"/>
      <c r="E40" s="48"/>
      <c r="F40" s="48"/>
      <c r="G40" s="30"/>
      <c r="H40" s="30"/>
      <c r="I40" s="74"/>
      <c r="J40" s="30"/>
      <c r="K40" s="30"/>
      <c r="L40" s="74"/>
      <c r="M40" s="30"/>
      <c r="N40" s="30"/>
      <c r="O40" s="30"/>
      <c r="P40" s="30"/>
      <c r="Q40" s="30"/>
      <c r="R40" s="30"/>
      <c r="S40" s="30"/>
    </row>
    <row r="41">
      <c r="A41" s="30"/>
      <c r="B41" s="48"/>
      <c r="C41" s="48"/>
      <c r="D41" s="48"/>
      <c r="E41" s="48"/>
      <c r="F41" s="48"/>
      <c r="G41" s="30"/>
      <c r="H41" s="30"/>
      <c r="I41" s="30"/>
      <c r="J41" s="30"/>
      <c r="K41" s="30"/>
      <c r="L41" s="48"/>
      <c r="M41" s="30"/>
      <c r="N41" s="30"/>
      <c r="O41" s="30"/>
      <c r="P41" s="30"/>
      <c r="Q41" s="30"/>
      <c r="R41" s="30"/>
      <c r="S41" s="30"/>
    </row>
    <row r="42">
      <c r="A42" s="30"/>
      <c r="B42" s="48"/>
      <c r="C42" s="48"/>
      <c r="D42" s="48"/>
      <c r="E42" s="48"/>
      <c r="F42" s="48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>
      <c r="A43" s="30"/>
      <c r="B43" s="48"/>
      <c r="C43" s="48"/>
      <c r="D43" s="48"/>
      <c r="E43" s="48"/>
      <c r="F43" s="48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>
      <c r="A44" s="30"/>
      <c r="B44" s="48"/>
      <c r="C44" s="48"/>
      <c r="D44" s="48"/>
      <c r="E44" s="48"/>
      <c r="F44" s="48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</row>
    <row r="45">
      <c r="A45" s="30"/>
      <c r="B45" s="48"/>
      <c r="C45" s="48"/>
      <c r="D45" s="48"/>
      <c r="E45" s="48"/>
      <c r="F45" s="48"/>
      <c r="G45" s="30"/>
      <c r="H45" s="30"/>
      <c r="I45" s="30"/>
      <c r="J45" s="30"/>
      <c r="K45" s="30"/>
      <c r="L45" s="30"/>
      <c r="M45" s="30"/>
      <c r="N45" s="30"/>
      <c r="O45" s="30"/>
      <c r="P45" s="30"/>
    </row>
  </sheetData>
  <mergeCells count="2">
    <mergeCell ref="A22:B22"/>
    <mergeCell ref="C29:D34"/>
  </mergeCells>
  <drawing r:id="rId1"/>
</worksheet>
</file>
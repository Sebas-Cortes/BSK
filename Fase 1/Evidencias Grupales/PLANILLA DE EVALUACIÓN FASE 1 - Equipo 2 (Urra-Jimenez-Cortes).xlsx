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6127F5D2-F407-4BBE-B2E3-5B9DD26076C3}" xr6:coauthVersionLast="36" xr6:coauthVersionMax="36"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E15" i="1"/>
  <c r="E16" i="1"/>
  <c r="D18" i="1"/>
  <c r="E18" i="1" s="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F18" i="1"/>
  <c r="G18" i="1" s="1"/>
  <c r="J16" i="1"/>
  <c r="K16" i="1" s="1"/>
  <c r="I16" i="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<sst xmlns="http://schemas.openxmlformats.org/spreadsheetml/2006/main" count="165" uniqueCount="99">
  <si>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</si>
  <si>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</si>
  <si>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</si>
  <si>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</si>
  <si>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</si>
  <si>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</si>
  <si>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</si>
  <si>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</si>
  <si>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</si>
  <si>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</si>
  <si>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</si>
  <si>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</si>
  <si>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</si>
  <si>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</si>
  <si>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</si>
  <si>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</si>
  <si>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</si>
  <si>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</si>
  <si>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</si>
  <si>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</si>
  <si>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</si>
  <si>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</si>
  <si>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</si>
  <si>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</si>
  <si>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</si>
  <si>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</si>
  <si>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</si>
  <si>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</si>
  <si>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</si>
  <si>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</si>
  <si>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</si>
  <si>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</si>
  <si>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</si>
  <si>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</si>
  <si>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</si>
  <si>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</si>
  <si>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</si>
  <si>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</si>
  <si>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</si>
  <si>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</si>
  <si>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</si>
  <si>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</si>
  <si>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</si>
  <si>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</si>
  <si>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</si>
  <si>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</si>
  <si>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</si>
  <si>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</si>
  <si>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</si>
  <si>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</si>
  <si>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</si>
  <si>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</si>
  <si>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</si>
  <si>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</si>
  <si>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</si>
  <si>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</si>
  <si>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</si>
  <si>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</si>
  <si>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</si>
  <si>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</si>
  <si>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</si>
  <si>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</si>
  <si>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</si>
  <si>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</si>
  <si>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</si>
  <si>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</si>
  <si>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</si>
  <si>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</si>
  <si>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</si>
  <si>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</si>
  <si>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</si>
  <si>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</si>
  <si>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</si>
  <si>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</si>
  <si>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</si>
  <si>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</si>
  <si>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</si>
  <si>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</si>
  <si>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</si>
  <si>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</si>
  <si>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</si>
  <si>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</si>
  <si>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</si>
  <si>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</si>
  <si>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</si>
  <si>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</si>
  <si>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</si>
  <si>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</si>
  <si>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</si>
  <si>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</si>
  <si>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</si>
  <si>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</si>
  <si>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</si>
  <si>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</si>
  <si>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</si>
  <si>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</si>
  <si>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URRA STENGER BENJAMIN ESTEBAN</t>
  </si>
  <si>
    <t>JIMENEZ RODRIGUEZ KEVIN PABLO</t>
  </si>
  <si>
    <t>CORTES BUSTAMANTE SEBASTIAN ELIAS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</si>
</sst>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9" borderId="33" xfId="0" applyFont="1" applyFill="1" applyBorder="1"/>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55" sqref="D5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48" t="s">
        <v>96</v>
      </c>
      <c r="C4" s="6">
        <f>EVALUACION1!$C$24</f>
        <v>6</v>
      </c>
      <c r="D4" s="6">
        <f>$C$35</f>
        <v>6</v>
      </c>
      <c r="E4" s="42">
        <f>C4*C$2+D4*D$2</f>
        <v>6</v>
      </c>
      <c r="G4" s="1"/>
    </row>
    <row r="5" spans="1:11" x14ac:dyDescent="0.25">
      <c r="A5" s="5">
        <v>2</v>
      </c>
      <c r="B5" s="48" t="s">
        <v>97</v>
      </c>
      <c r="C5" s="6">
        <f>EVALUACION1!$C$24</f>
        <v>6</v>
      </c>
      <c r="D5" s="6">
        <f>C47</f>
        <v>6</v>
      </c>
      <c r="E5" s="42">
        <f t="shared" ref="E5:E6" si="0">C5*C$2+D5*D$2</f>
        <v>6</v>
      </c>
      <c r="G5" s="1"/>
    </row>
    <row r="6" spans="1:11" x14ac:dyDescent="0.25">
      <c r="A6" s="5">
        <v>3</v>
      </c>
      <c r="B6" s="48" t="s">
        <v>98</v>
      </c>
      <c r="C6" s="6">
        <f>EVALUACION1!$C$24</f>
        <v>6</v>
      </c>
      <c r="D6" s="6">
        <f>C58</f>
        <v>6</v>
      </c>
      <c r="E6" s="42">
        <f t="shared" si="0"/>
        <v>6</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4" t="str">
        <f>RUBRICA!A5</f>
        <v>1. Describe brevemente en qué consiste el Proyecto APT, justificando su relevancia para el campo laboral de su carrera.</v>
      </c>
      <c r="C13" s="32" t="s">
        <v>7</v>
      </c>
      <c r="D13" s="16" t="str">
        <f t="shared" ref="D13:D14" si="1">IF($C13=CL,"X","")</f>
        <v>X</v>
      </c>
      <c r="E13" s="16">
        <f>IF(D13="X",100*0.1,"")</f>
        <v>10</v>
      </c>
      <c r="F13" s="16" t="str">
        <f t="shared" ref="F13:F14" si="2">IF($C13=L,"X","")</f>
        <v/>
      </c>
      <c r="G13" s="16" t="str">
        <f>IF(F13="X",60*0.1,"")</f>
        <v/>
      </c>
      <c r="H13" s="16" t="str">
        <f t="shared" ref="H13:H15" si="3">IF($C13=ML,"X","")</f>
        <v/>
      </c>
      <c r="I13" s="16" t="str">
        <f>IF(H13="X",30*0.1,"")</f>
        <v/>
      </c>
      <c r="J13" s="16" t="str">
        <f t="shared" ref="J13:J16" si="4">IF($C13=NL,"X","")</f>
        <v/>
      </c>
      <c r="K13" s="16" t="str">
        <f t="shared" ref="K13:K16" si="5">IF($J13="X",0,"")</f>
        <v/>
      </c>
    </row>
    <row r="14" spans="1:11" ht="26.45" customHeight="1" outlineLevel="1" x14ac:dyDescent="0.25">
      <c r="A14" s="65"/>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4" t="str">
        <f>RUBRICA!A8</f>
        <v xml:space="preserve">4.  Argumenta por qué el proyecto es factible de realizarse en el marco de la asignatura. </v>
      </c>
      <c r="C15" s="32"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4" t="str">
        <f>RUBRICA!A9</f>
        <v xml:space="preserve">5. Formula objetivos claros, concisos y coherentes con la disciplina y la situación a abordar. </v>
      </c>
      <c r="C16" s="32" t="s">
        <v>7</v>
      </c>
      <c r="D16" s="16"/>
      <c r="E16" s="16" t="str">
        <f>IF(D16="X",100*0.05,"")</f>
        <v/>
      </c>
      <c r="F16" s="16"/>
      <c r="G16" s="16" t="str">
        <f>IF(F16="X",60*0.05,"")</f>
        <v/>
      </c>
      <c r="H16" s="16" t="s">
        <v>95</v>
      </c>
      <c r="I16" s="16">
        <f>IF(H16="X",30*0.05,"")</f>
        <v>1.5</v>
      </c>
      <c r="J16" s="16" t="str">
        <f t="shared" si="4"/>
        <v/>
      </c>
      <c r="K16" s="16" t="str">
        <f t="shared" si="5"/>
        <v/>
      </c>
    </row>
    <row r="17" spans="1:11" ht="24" outlineLevel="1" x14ac:dyDescent="0.25">
      <c r="A17" s="65"/>
      <c r="B17" s="34" t="str">
        <f>RUBRICA!A10</f>
        <v>6. Propone una metodología de trabajo que permite alcanzar los objetivos propuestos y es pertinente con los requerimientos disciplinares.</v>
      </c>
      <c r="C17" s="32" t="s">
        <v>7</v>
      </c>
      <c r="D17" s="16" t="s">
        <v>95</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4" t="str">
        <f>RUBRICA!A11</f>
        <v xml:space="preserve">7. Establece un plan de trabajo para su proyecto APT considerando los recursos, duración, facilitadores y obstaculizadores en el desarrollo de las actividades. </v>
      </c>
      <c r="C18" s="32" t="s">
        <v>7</v>
      </c>
      <c r="D18" s="16" t="str">
        <f t="shared" ref="D18:D22" si="18">IF($C18=CL,"X","")</f>
        <v>X</v>
      </c>
      <c r="E18" s="16">
        <f t="shared" ref="E18" si="19">IF(D18="X",100*0.1,"")</f>
        <v>10</v>
      </c>
      <c r="F18" s="16" t="str">
        <f t="shared" ref="F18:F22" si="20">IF($C18=L,"X","")</f>
        <v/>
      </c>
      <c r="G18" s="16" t="str">
        <f t="shared" ref="G18" si="21">IF(F18="X",60*0.1,"")</f>
        <v/>
      </c>
      <c r="H18" s="16" t="str">
        <f t="shared" si="14"/>
        <v/>
      </c>
      <c r="I18" s="16" t="str">
        <f t="shared" ref="I18" si="22">IF(H18="X",30*0.1,"")</f>
        <v/>
      </c>
      <c r="J18" s="16" t="str">
        <f t="shared" si="16"/>
        <v/>
      </c>
      <c r="K18" s="16" t="str">
        <f t="shared" si="17"/>
        <v/>
      </c>
    </row>
    <row r="19" spans="1:11" ht="24" outlineLevel="1" x14ac:dyDescent="0.25">
      <c r="A19" s="65"/>
      <c r="B19" s="34" t="str">
        <f>RUBRICA!A12</f>
        <v>8. Determina evidencias, justificando cómo estas dan cuenta del logro de las actividades del Proyecto APT.</v>
      </c>
      <c r="C19" s="32" t="s">
        <v>7</v>
      </c>
      <c r="D19" s="16"/>
      <c r="E19" s="16" t="str">
        <f>IF(D19="X",100*0.05,"")</f>
        <v/>
      </c>
      <c r="F19" s="16" t="s">
        <v>95</v>
      </c>
      <c r="G19" s="16">
        <f t="shared" ref="G19" si="23">IF(F19="X",60*0.05,"")</f>
        <v>3</v>
      </c>
      <c r="H19" s="16" t="str">
        <f t="shared" si="14"/>
        <v/>
      </c>
      <c r="I19" s="16" t="str">
        <f t="shared" ref="I19" si="24">IF(H19="X",30*0.05,"")</f>
        <v/>
      </c>
      <c r="J19" s="16" t="str">
        <f t="shared" si="16"/>
        <v/>
      </c>
      <c r="K19" s="16" t="str">
        <f t="shared" si="17"/>
        <v/>
      </c>
    </row>
    <row r="20" spans="1:11" ht="24" outlineLevel="1" x14ac:dyDescent="0.25">
      <c r="A20" s="65"/>
      <c r="B20" s="34" t="str">
        <f>RUBRICA!A13</f>
        <v xml:space="preserve">9. Utiliza reglas de redacción, ortografía (literal, puntual, acentual) y las normas para citas y referencias. </v>
      </c>
      <c r="C20" s="32" t="s">
        <v>7</v>
      </c>
      <c r="D20" s="16"/>
      <c r="E20" s="16" t="str">
        <f>IF(D20="X",100*0.05,"")</f>
        <v/>
      </c>
      <c r="F20" s="16" t="s">
        <v>95</v>
      </c>
      <c r="G20" s="16">
        <f t="shared" si="10"/>
        <v>3</v>
      </c>
      <c r="H20" s="16" t="str">
        <f t="shared" si="14"/>
        <v/>
      </c>
      <c r="I20" s="16" t="str">
        <f t="shared" si="11"/>
        <v/>
      </c>
      <c r="J20" s="16" t="str">
        <f t="shared" si="16"/>
        <v/>
      </c>
      <c r="K20" s="16" t="str">
        <f t="shared" si="17"/>
        <v/>
      </c>
    </row>
    <row r="21" spans="1:11" ht="22.9" customHeight="1" outlineLevel="1" x14ac:dyDescent="0.25">
      <c r="A21" s="65"/>
      <c r="B21" s="34" t="str">
        <f>RUBRICA!A14</f>
        <v>10. Cumple completando el contenido del informe de presentación del proyecto de acuerdo con la plantilla entregada.</v>
      </c>
      <c r="C21" s="32" t="s">
        <v>7</v>
      </c>
      <c r="D21" s="16" t="str">
        <f t="shared" si="18"/>
        <v>X</v>
      </c>
      <c r="E21" s="16">
        <f t="shared" si="9"/>
        <v>5</v>
      </c>
      <c r="F21" s="16" t="str">
        <f t="shared" si="20"/>
        <v/>
      </c>
      <c r="G21" s="16" t="str">
        <f t="shared" si="10"/>
        <v/>
      </c>
      <c r="H21" s="16" t="str">
        <f t="shared" si="14"/>
        <v/>
      </c>
      <c r="I21" s="16" t="str">
        <f t="shared" si="11"/>
        <v/>
      </c>
      <c r="J21" s="16" t="str">
        <f t="shared" si="16"/>
        <v/>
      </c>
      <c r="K21" s="16" t="str">
        <f t="shared" si="17"/>
        <v/>
      </c>
    </row>
    <row r="22" spans="1:11" ht="36" outlineLevel="1" x14ac:dyDescent="0.25">
      <c r="A22" s="65"/>
      <c r="B22" s="34" t="str">
        <f>RUBRICA!A16</f>
        <v>12. Desarrolla un plan de trabajo que permita del logro de los objetivos propuestos del proyecto de 
acuerdo a los tiempos para su desarrollo</v>
      </c>
      <c r="C22" s="32" t="s">
        <v>7</v>
      </c>
      <c r="D22" s="16" t="str">
        <f t="shared" si="18"/>
        <v>X</v>
      </c>
      <c r="E22" s="16">
        <f>IF(D22="X",100*0.1,"")</f>
        <v>10</v>
      </c>
      <c r="F22" s="16" t="str">
        <f t="shared" si="20"/>
        <v/>
      </c>
      <c r="G22" s="16" t="str">
        <f>IF(F22="X",60*0.1,"")</f>
        <v/>
      </c>
      <c r="H22" s="16" t="str">
        <f t="shared" si="14"/>
        <v/>
      </c>
      <c r="I22" s="16" t="str">
        <f>IF(H22="X",30*0.1,"")</f>
        <v/>
      </c>
      <c r="J22" s="16" t="str">
        <f t="shared" si="16"/>
        <v/>
      </c>
      <c r="K22" s="16" t="str">
        <f t="shared" si="17"/>
        <v/>
      </c>
    </row>
    <row r="23" spans="1:11" ht="15.75" customHeight="1" outlineLevel="1" x14ac:dyDescent="0.3">
      <c r="A23" s="62"/>
      <c r="B23" s="33" t="s">
        <v>11</v>
      </c>
      <c r="C23" s="36">
        <f>E23+G23+I23+K23</f>
        <v>60.5</v>
      </c>
      <c r="D23" s="19"/>
      <c r="E23" s="19">
        <f>SUM(E13:E22)</f>
        <v>50</v>
      </c>
      <c r="F23" s="19"/>
      <c r="G23" s="19">
        <f>SUM(G13:G22)</f>
        <v>9</v>
      </c>
      <c r="H23" s="19"/>
      <c r="I23" s="19">
        <f>SUM(I13:I22)</f>
        <v>1.5</v>
      </c>
      <c r="J23" s="19"/>
      <c r="K23" s="19">
        <f>SUM(K13:K22)</f>
        <v>0</v>
      </c>
    </row>
    <row r="24" spans="1:11" ht="15.75" customHeight="1" outlineLevel="1" x14ac:dyDescent="0.3">
      <c r="A24" s="50"/>
      <c r="B24" s="35" t="s">
        <v>12</v>
      </c>
      <c r="C24" s="20">
        <f>VLOOKUP(C23,ESCALA_IEP!A2:B142,2,FALSE)</f>
        <v>6</v>
      </c>
    </row>
    <row r="25" spans="1:11" ht="15.75" customHeight="1" x14ac:dyDescent="0.25"/>
    <row r="26" spans="1:11" ht="15.75" customHeight="1" x14ac:dyDescent="0.25"/>
    <row r="27" spans="1:11" ht="15.75" customHeight="1" x14ac:dyDescent="0.25">
      <c r="A27" s="61" t="s">
        <v>13</v>
      </c>
      <c r="B27" s="49" t="s">
        <v>14</v>
      </c>
      <c r="C27" s="51" t="str">
        <f>$B$4</f>
        <v>URRA STENGER BENJAMIN ESTEBAN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2"/>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JIMENEZ RODRIGUEZ KEVIN PABLO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2"/>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CORTES BUSTAMANTE SEBASTIAN ELIAS</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2"/>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2025-09-26T18:59:46Z</dcterms:modified>
  <cp:category/>
  <cp:contentStatus/>
</cp:coreProperties>
</file>